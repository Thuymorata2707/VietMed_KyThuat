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Xinh\Desktop\BC.Tháng 5.2026\"/>
    </mc:Choice>
  </mc:AlternateContent>
  <bookViews>
    <workbookView xWindow="-105" yWindow="-105" windowWidth="21795" windowHeight="13095" tabRatio="764"/>
  </bookViews>
  <sheets>
    <sheet name="Sửa chữa " sheetId="1" r:id="rId1"/>
  </sheets>
  <definedNames>
    <definedName name="_xlnm._FilterDatabase" localSheetId="0" hidden="1">'Sửa chữa '!$A$10:$P$29</definedName>
  </definedNames>
  <calcPr calcId="152511"/>
</workbook>
</file>

<file path=xl/calcChain.xml><?xml version="1.0" encoding="utf-8"?>
<calcChain xmlns="http://schemas.openxmlformats.org/spreadsheetml/2006/main">
  <c r="O27" i="1" l="1"/>
</calcChain>
</file>

<file path=xl/comments1.xml><?xml version="1.0" encoding="utf-8"?>
<comments xmlns="http://schemas.openxmlformats.org/spreadsheetml/2006/main">
  <authors>
    <author>Hiền</author>
  </authors>
  <commentList>
    <comment ref="L49" authorId="0" shapeId="0">
      <text>
        <r>
          <rPr>
            <b/>
            <sz val="9"/>
            <rFont val="Tahoma"/>
            <charset val="134"/>
          </rPr>
          <t>Hiền:</t>
        </r>
        <r>
          <rPr>
            <sz val="9"/>
            <rFont val="Tahoma"/>
            <charset val="134"/>
          </rPr>
          <t xml:space="preserve">
Bơm bc2800</t>
        </r>
      </text>
    </comment>
  </commentList>
</comments>
</file>

<file path=xl/sharedStrings.xml><?xml version="1.0" encoding="utf-8"?>
<sst xmlns="http://schemas.openxmlformats.org/spreadsheetml/2006/main" count="429" uniqueCount="154">
  <si>
    <t>Ngày nhận</t>
  </si>
  <si>
    <t>Ngày trả</t>
  </si>
  <si>
    <t>Model</t>
  </si>
  <si>
    <t>S/N</t>
  </si>
  <si>
    <t>Thành Phố</t>
  </si>
  <si>
    <t>Số điện thoại</t>
  </si>
  <si>
    <t>Phụ trách</t>
  </si>
  <si>
    <t>Linh kiện thay thế</t>
  </si>
  <si>
    <t>Số tiền</t>
  </si>
  <si>
    <t>Ghi chú</t>
  </si>
  <si>
    <t>STT</t>
  </si>
  <si>
    <t xml:space="preserve"> </t>
  </si>
  <si>
    <t>Người liên hệ</t>
  </si>
  <si>
    <t>Tình trạng thiết bị</t>
  </si>
  <si>
    <t>Biện pháp khắc phục</t>
  </si>
  <si>
    <t>Người thực hiện</t>
  </si>
  <si>
    <t>DANH SÁCH MÁY BẢO DƯỠNG/SỬA CHỮA THÁNG 05.2026</t>
  </si>
  <si>
    <t>07/05/2026</t>
  </si>
  <si>
    <t>Tại chỗ</t>
  </si>
  <si>
    <t>BS 200E</t>
  </si>
  <si>
    <t>PKĐK Bích Động</t>
  </si>
  <si>
    <t>Bắc Giang</t>
  </si>
  <si>
    <t>Máy hđbt</t>
  </si>
  <si>
    <t>Huynh</t>
  </si>
  <si>
    <t>Bảo dưỡng máy định kỳ</t>
  </si>
  <si>
    <t>BC-20s</t>
  </si>
  <si>
    <t>BS-240</t>
  </si>
  <si>
    <t>PK Medicare</t>
  </si>
  <si>
    <t>Hà Nội</t>
  </si>
  <si>
    <t>Cường</t>
  </si>
  <si>
    <t>Vệ sinh kiểm tra, bảo dưỡng máy</t>
  </si>
  <si>
    <t>08/05/2026</t>
  </si>
  <si>
    <t>BC-2800vet</t>
  </si>
  <si>
    <t>BV Thú Y</t>
  </si>
  <si>
    <t>Máy lỗi bơm thải</t>
  </si>
  <si>
    <t>Vệ sinh thông tắc xử lý lỗi</t>
  </si>
  <si>
    <t>BS-120</t>
  </si>
  <si>
    <t>VS Bảo dưỡng máy</t>
  </si>
  <si>
    <t>BC-30S</t>
  </si>
  <si>
    <t>PK Nam Long</t>
  </si>
  <si>
    <t>Phú Thọ</t>
  </si>
  <si>
    <t>Máy lỗi WBC Clog, không hút được Lyse</t>
  </si>
  <si>
    <t>WBC</t>
  </si>
  <si>
    <t>Thay mới buồng đếm</t>
  </si>
  <si>
    <t>BS-480</t>
  </si>
  <si>
    <t>PKĐK Tâm Đức- Yên Lạc</t>
  </si>
  <si>
    <t>Vĩnh Phúc</t>
  </si>
  <si>
    <t>BC-2800</t>
  </si>
  <si>
    <t>11/05/2026</t>
  </si>
  <si>
    <t>BS-240E</t>
  </si>
  <si>
    <t>BV Mắt Ánh Dương</t>
  </si>
  <si>
    <t>Hà Nôi</t>
  </si>
  <si>
    <t xml:space="preserve">Tắc đường thải, trào nước kim hút </t>
  </si>
  <si>
    <t>Thay doăng kim hút, theo dõi thêm</t>
  </si>
  <si>
    <t>BC-20S</t>
  </si>
  <si>
    <t>12/05/2026</t>
  </si>
  <si>
    <t>PKĐK Xuân Mai</t>
  </si>
  <si>
    <t>Băc Giang</t>
  </si>
  <si>
    <t>Hỗ trợ kết nối lis</t>
  </si>
  <si>
    <t>BC-28000</t>
  </si>
  <si>
    <t>UA-66</t>
  </si>
  <si>
    <t>PKĐK Tre Việt (CTY Hải Nam)</t>
  </si>
  <si>
    <t>Bóng đèn yếu</t>
  </si>
  <si>
    <t>Bóng đèn</t>
  </si>
  <si>
    <t>Thay thế bóng đèn mới</t>
  </si>
  <si>
    <t>chưa phiếu</t>
  </si>
  <si>
    <t>14/05/2026</t>
  </si>
  <si>
    <t>DC-60</t>
  </si>
  <si>
    <t>PK Bs Vỹ</t>
  </si>
  <si>
    <t>Quang</t>
  </si>
  <si>
    <t>Vệ sinh bảo dưỡng máy</t>
  </si>
  <si>
    <t>15/05/2026</t>
  </si>
  <si>
    <t>CCU-1500</t>
  </si>
  <si>
    <t>2500251250026</t>
  </si>
  <si>
    <t>TT Y Tế Vĩnh Bảo</t>
  </si>
  <si>
    <t>Hải Phòng</t>
  </si>
  <si>
    <t>Máy không khởi động được, đèn báo yếu</t>
  </si>
  <si>
    <t>Huấn</t>
  </si>
  <si>
    <t>Máy lỗi main</t>
  </si>
  <si>
    <t>nhận về 01 camera: SN A02038</t>
  </si>
  <si>
    <t>BV YHCT Hải Phòng</t>
  </si>
  <si>
    <t>Clinitek Status</t>
  </si>
  <si>
    <t>17/05/2026</t>
  </si>
  <si>
    <t>CL-2600I</t>
  </si>
  <si>
    <t>PKĐK Quốc Tế Thu Cúc - Đại Từ</t>
  </si>
  <si>
    <t>19/05/2026</t>
  </si>
  <si>
    <t>PKDĐK Dân An</t>
  </si>
  <si>
    <t>Hoàn thiện lắp đặt máy, hdsd</t>
  </si>
  <si>
    <t>20/05/2026</t>
  </si>
  <si>
    <t>PKĐK Văn Lang</t>
  </si>
  <si>
    <t>Lỗi kim hút mẫu</t>
  </si>
  <si>
    <t>Kiểm tra vệ sinh kim hút giểng rửa</t>
  </si>
  <si>
    <t>22/05/2026</t>
  </si>
  <si>
    <t>CCU2400</t>
  </si>
  <si>
    <t>Công ty Fujimax</t>
  </si>
  <si>
    <t>HCM</t>
  </si>
  <si>
    <t>Máy lỗi phần mềm</t>
  </si>
  <si>
    <t>Vệ sinh , Kiểm tra</t>
  </si>
  <si>
    <t>G600II</t>
  </si>
  <si>
    <t>KC230895B</t>
  </si>
  <si>
    <t>BV Phổi Trung Uơng</t>
  </si>
  <si>
    <t>Hương, May</t>
  </si>
  <si>
    <t>Chạy Cal, QC, cài hóa chất</t>
  </si>
  <si>
    <t>TK-19009949</t>
  </si>
  <si>
    <t>Công ty Tekmax</t>
  </si>
  <si>
    <t>23/05/2026</t>
  </si>
  <si>
    <t>RP-68117671</t>
  </si>
  <si>
    <t>PKĐK Thái Bình- Hòa Bình</t>
  </si>
  <si>
    <t>Nhận máy kt</t>
  </si>
  <si>
    <t>Máy chạy kết quả sai lệch, lỗi van 2 chiều</t>
  </si>
  <si>
    <t>Van 2 chiều</t>
  </si>
  <si>
    <t>Thay thế van mới</t>
  </si>
  <si>
    <t>26/05/2026</t>
  </si>
  <si>
    <t>BC-3000P</t>
  </si>
  <si>
    <t>PKĐK Đình Cự- Hải Hậu</t>
  </si>
  <si>
    <t>Ninh Bình</t>
  </si>
  <si>
    <t xml:space="preserve">Máy báo lỗi bơm Vauum </t>
  </si>
  <si>
    <t>Bơm Vauum (bơm rửa trong)</t>
  </si>
  <si>
    <t>Thay thế bơm mới máy hđbt</t>
  </si>
  <si>
    <t>G-1200</t>
  </si>
  <si>
    <t>Máy không đọc được vị trí</t>
  </si>
  <si>
    <t xml:space="preserve">Hiệu chỉnh lại tay gắp hoắ chất </t>
  </si>
  <si>
    <t>PKĐK Đình Cự- Xuân Trường</t>
  </si>
  <si>
    <t>1ml, 100ul</t>
  </si>
  <si>
    <t>BC-31S</t>
  </si>
  <si>
    <t>Elevator</t>
  </si>
  <si>
    <t>27/05/2026</t>
  </si>
  <si>
    <t>A. Quyết</t>
  </si>
  <si>
    <t>0914726230</t>
  </si>
  <si>
    <t>Máy lỗi main board</t>
  </si>
  <si>
    <t>Thay thế main mới máy hđbt</t>
  </si>
  <si>
    <t>28/05/2026</t>
  </si>
  <si>
    <t>BC-5380</t>
  </si>
  <si>
    <t>RF-97103239</t>
  </si>
  <si>
    <t>BVĐK Phương Bắc</t>
  </si>
  <si>
    <t>Tuyên Quang</t>
  </si>
  <si>
    <t>Chảy nước vào lắp ống nghiệm</t>
  </si>
  <si>
    <t>Bơm rửa kim hút mẫu</t>
  </si>
  <si>
    <t>BA-88A</t>
  </si>
  <si>
    <t>TT Y Tế Đường Sắt</t>
  </si>
  <si>
    <t>Lôĩ màn hình</t>
  </si>
  <si>
    <t>Màn hình</t>
  </si>
  <si>
    <t>Thay thế màn mới</t>
  </si>
  <si>
    <t>30/05/2025</t>
  </si>
  <si>
    <t>Xcube 50</t>
  </si>
  <si>
    <t>Q00297</t>
  </si>
  <si>
    <t>Phòng khám Nội-Siêu âm Bs Lê Văn Dũng</t>
  </si>
  <si>
    <t>Hưng Yên</t>
  </si>
  <si>
    <t>Bs Dũng</t>
  </si>
  <si>
    <t>Đầu dò tim bị mờ</t>
  </si>
  <si>
    <t>Dưỡng</t>
  </si>
  <si>
    <t>Nâng cấp phần mềm mới, bảo dưỡng toàn bộ máy</t>
  </si>
  <si>
    <t xml:space="preserve">Máy báo lỗi bọt khí, bọt trong đường ống </t>
  </si>
  <si>
    <t>Bảo Hành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</si>
</sst>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dd/mm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indexed="8"/>
      <name val="Calibri"/>
      <family val="2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b/>
      <sz val="18"/>
      <color theme="1"/>
      <name val="Times New Roman"/>
      <family val="1"/>
    </font>
    <font>
      <sz val="13"/>
      <color theme="1"/>
      <name val="Times New Roman"/>
      <charset val="134"/>
    </font>
    <font>
      <sz val="12"/>
      <color theme="1"/>
      <name val="Times New Roman"/>
      <charset val="134"/>
    </font>
    <font>
      <sz val="13"/>
      <color rgb="FFFF0000"/>
      <name val="Times New Roman"/>
      <charset val="134"/>
    </font>
    <font>
      <sz val="12"/>
      <color rgb="FFFF0000"/>
      <name val="Times New Roman"/>
      <charset val="134"/>
    </font>
    <font>
      <sz val="13"/>
      <name val="Times New Roman"/>
      <charset val="134"/>
    </font>
    <font>
      <sz val="12"/>
      <name val="Times New Roman"/>
      <charset val="134"/>
    </font>
    <font>
      <b/>
      <sz val="9"/>
      <name val="Tahoma"/>
      <charset val="134"/>
    </font>
    <font>
      <sz val="9"/>
      <name val="Tahoma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</cellStyleXfs>
  <cellXfs count="59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center"/>
    </xf>
    <xf numFmtId="3" fontId="4" fillId="2" borderId="0" xfId="0" applyNumberFormat="1" applyFont="1" applyFill="1" applyAlignment="1">
      <alignment horizontal="center"/>
    </xf>
    <xf numFmtId="0" fontId="4" fillId="2" borderId="0" xfId="0" applyFont="1" applyFill="1" applyAlignment="1">
      <alignment wrapText="1"/>
    </xf>
    <xf numFmtId="0" fontId="4" fillId="2" borderId="0" xfId="0" applyFont="1" applyFill="1" applyAlignment="1">
      <alignment horizontal="left" wrapText="1"/>
    </xf>
    <xf numFmtId="49" fontId="4" fillId="2" borderId="0" xfId="0" applyNumberFormat="1" applyFont="1" applyFill="1" applyAlignment="1"/>
    <xf numFmtId="49" fontId="4" fillId="2" borderId="0" xfId="0" applyNumberFormat="1" applyFont="1" applyFill="1" applyAlignment="1">
      <alignment horizontal="left"/>
    </xf>
    <xf numFmtId="0" fontId="5" fillId="2" borderId="3" xfId="0" applyFont="1" applyFill="1" applyBorder="1" applyAlignment="1">
      <alignment vertical="center"/>
    </xf>
    <xf numFmtId="0" fontId="4" fillId="2" borderId="0" xfId="0" applyFont="1" applyFill="1" applyAlignment="1"/>
    <xf numFmtId="3" fontId="4" fillId="2" borderId="0" xfId="0" applyNumberFormat="1" applyFont="1" applyFill="1" applyAlignment="1">
      <alignment horizontal="left"/>
    </xf>
    <xf numFmtId="0" fontId="4" fillId="2" borderId="0" xfId="0" applyFont="1" applyFill="1" applyAlignment="1">
      <alignment vertical="center"/>
    </xf>
    <xf numFmtId="0" fontId="2" fillId="2" borderId="2" xfId="0" applyFont="1" applyFill="1" applyBorder="1" applyAlignment="1">
      <alignment horizontal="left"/>
    </xf>
    <xf numFmtId="49" fontId="4" fillId="2" borderId="4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  <xf numFmtId="164" fontId="5" fillId="2" borderId="3" xfId="0" applyNumberFormat="1" applyFont="1" applyFill="1" applyBorder="1" applyAlignment="1">
      <alignment vertical="center"/>
    </xf>
    <xf numFmtId="49" fontId="5" fillId="2" borderId="3" xfId="0" applyNumberFormat="1" applyFont="1" applyFill="1" applyBorder="1" applyAlignment="1">
      <alignment vertical="center"/>
    </xf>
    <xf numFmtId="0" fontId="5" fillId="2" borderId="3" xfId="0" applyFont="1" applyFill="1" applyBorder="1" applyAlignment="1">
      <alignment vertical="center" wrapText="1"/>
    </xf>
    <xf numFmtId="3" fontId="5" fillId="2" borderId="3" xfId="0" applyNumberFormat="1" applyFont="1" applyFill="1" applyBorder="1" applyAlignment="1">
      <alignment vertical="center" wrapText="1"/>
    </xf>
    <xf numFmtId="3" fontId="5" fillId="2" borderId="3" xfId="2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vertical="center"/>
    </xf>
    <xf numFmtId="0" fontId="7" fillId="2" borderId="1" xfId="0" applyFont="1" applyFill="1" applyBorder="1" applyAlignment="1">
      <alignment vertical="center"/>
    </xf>
    <xf numFmtId="0" fontId="8" fillId="2" borderId="2" xfId="0" applyFont="1" applyFill="1" applyBorder="1" applyAlignment="1">
      <alignment horizontal="left"/>
    </xf>
    <xf numFmtId="0" fontId="7" fillId="2" borderId="1" xfId="0" applyFont="1" applyFill="1" applyBorder="1" applyAlignment="1"/>
    <xf numFmtId="49" fontId="7" fillId="2" borderId="1" xfId="0" applyNumberFormat="1" applyFont="1" applyFill="1" applyBorder="1" applyAlignment="1">
      <alignment horizontal="left"/>
    </xf>
    <xf numFmtId="0" fontId="7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center"/>
    </xf>
    <xf numFmtId="3" fontId="7" fillId="2" borderId="1" xfId="0" applyNumberFormat="1" applyFont="1" applyFill="1" applyBorder="1" applyAlignment="1">
      <alignment horizontal="left" wrapText="1"/>
    </xf>
    <xf numFmtId="0" fontId="7" fillId="2" borderId="0" xfId="0" applyFont="1" applyFill="1"/>
    <xf numFmtId="0" fontId="9" fillId="2" borderId="1" xfId="0" applyFont="1" applyFill="1" applyBorder="1" applyAlignment="1">
      <alignment horizontal="center" vertical="center"/>
    </xf>
    <xf numFmtId="49" fontId="9" fillId="2" borderId="4" xfId="0" applyNumberFormat="1" applyFont="1" applyFill="1" applyBorder="1" applyAlignment="1">
      <alignment vertical="center"/>
    </xf>
    <xf numFmtId="0" fontId="9" fillId="2" borderId="1" xfId="0" applyFont="1" applyFill="1" applyBorder="1" applyAlignment="1">
      <alignment vertical="center"/>
    </xf>
    <xf numFmtId="0" fontId="10" fillId="2" borderId="2" xfId="0" applyFont="1" applyFill="1" applyBorder="1" applyAlignment="1">
      <alignment horizontal="left"/>
    </xf>
    <xf numFmtId="0" fontId="9" fillId="2" borderId="1" xfId="0" applyFont="1" applyFill="1" applyBorder="1" applyAlignment="1"/>
    <xf numFmtId="49" fontId="9" fillId="2" borderId="1" xfId="0" applyNumberFormat="1" applyFont="1" applyFill="1" applyBorder="1" applyAlignment="1">
      <alignment horizontal="left"/>
    </xf>
    <xf numFmtId="0" fontId="9" fillId="2" borderId="1" xfId="0" applyFont="1" applyFill="1" applyBorder="1" applyAlignment="1">
      <alignment horizontal="left" wrapText="1"/>
    </xf>
    <xf numFmtId="0" fontId="9" fillId="2" borderId="1" xfId="0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center"/>
    </xf>
    <xf numFmtId="3" fontId="9" fillId="2" borderId="1" xfId="0" applyNumberFormat="1" applyFont="1" applyFill="1" applyBorder="1" applyAlignment="1">
      <alignment horizontal="left" wrapText="1"/>
    </xf>
    <xf numFmtId="0" fontId="9" fillId="2" borderId="0" xfId="0" applyFont="1" applyFill="1"/>
    <xf numFmtId="0" fontId="11" fillId="2" borderId="1" xfId="0" applyFont="1" applyFill="1" applyBorder="1" applyAlignment="1">
      <alignment horizontal="center" vertical="center"/>
    </xf>
    <xf numFmtId="49" fontId="11" fillId="2" borderId="4" xfId="0" applyNumberFormat="1" applyFont="1" applyFill="1" applyBorder="1" applyAlignment="1">
      <alignment vertical="center"/>
    </xf>
    <xf numFmtId="0" fontId="11" fillId="2" borderId="1" xfId="0" applyFont="1" applyFill="1" applyBorder="1" applyAlignment="1">
      <alignment vertical="center"/>
    </xf>
    <xf numFmtId="0" fontId="11" fillId="2" borderId="1" xfId="0" quotePrefix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left"/>
    </xf>
    <xf numFmtId="0" fontId="11" fillId="2" borderId="1" xfId="0" applyFont="1" applyFill="1" applyBorder="1" applyAlignment="1"/>
    <xf numFmtId="49" fontId="11" fillId="2" borderId="1" xfId="0" applyNumberFormat="1" applyFont="1" applyFill="1" applyBorder="1" applyAlignment="1">
      <alignment horizontal="left"/>
    </xf>
    <xf numFmtId="0" fontId="11" fillId="2" borderId="1" xfId="0" applyFont="1" applyFill="1" applyBorder="1" applyAlignment="1">
      <alignment horizontal="left" wrapText="1"/>
    </xf>
    <xf numFmtId="0" fontId="11" fillId="2" borderId="1" xfId="0" applyFont="1" applyFill="1" applyBorder="1" applyAlignment="1">
      <alignment horizontal="center"/>
    </xf>
    <xf numFmtId="3" fontId="11" fillId="2" borderId="1" xfId="0" applyNumberFormat="1" applyFont="1" applyFill="1" applyBorder="1" applyAlignment="1">
      <alignment horizontal="center"/>
    </xf>
    <xf numFmtId="3" fontId="11" fillId="2" borderId="1" xfId="0" applyNumberFormat="1" applyFont="1" applyFill="1" applyBorder="1" applyAlignment="1">
      <alignment horizontal="left" wrapText="1"/>
    </xf>
    <xf numFmtId="0" fontId="11" fillId="2" borderId="0" xfId="0" applyFont="1" applyFill="1"/>
    <xf numFmtId="0" fontId="6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left" vertical="center"/>
    </xf>
  </cellXfs>
  <cellStyles count="4">
    <cellStyle name="Comma 2" xfId="2"/>
    <cellStyle name="Normal" xfId="0" builtinId="0"/>
    <cellStyle name="Normal 5" xfId="1"/>
    <cellStyle name="Normal 8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89647</xdr:colOff>
      <xdr:row>5</xdr:row>
      <xdr:rowOff>134470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646588" cy="11990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A3:P54"/>
  <sheetViews>
    <sheetView tabSelected="1" zoomScale="85" zoomScaleNormal="85" workbookViewId="0">
      <pane xSplit="2" ySplit="10" topLeftCell="C11" activePane="bottomRight" state="frozen"/>
      <selection pane="topRight" activeCell="C1" sqref="C1"/>
      <selection pane="bottomLeft" activeCell="A8" sqref="A8"/>
      <selection pane="bottomRight" activeCell="H23" sqref="H23"/>
    </sheetView>
  </sheetViews>
  <sheetFormatPr defaultColWidth="9.140625" defaultRowHeight="16.5"/>
  <cols>
    <col min="1" max="1" width="9.85546875" style="1" customWidth="1"/>
    <col min="2" max="2" width="14.5703125" style="6" customWidth="1"/>
    <col min="3" max="3" width="15" style="7" customWidth="1"/>
    <col min="4" max="4" width="23.28515625" style="11" customWidth="1"/>
    <col min="5" max="5" width="21.5703125" style="14" customWidth="1"/>
    <col min="6" max="6" width="33.7109375" style="9" customWidth="1"/>
    <col min="7" max="7" width="27.7109375" style="9" customWidth="1"/>
    <col min="8" max="8" width="19.5703125" style="7" customWidth="1"/>
    <col min="9" max="9" width="18.5703125" style="7" customWidth="1"/>
    <col min="10" max="10" width="41.5703125" style="5" customWidth="1"/>
    <col min="11" max="11" width="23.5703125" style="2" customWidth="1"/>
    <col min="12" max="12" width="29.28515625" style="4" customWidth="1"/>
    <col min="13" max="13" width="32.42578125" style="4" customWidth="1"/>
    <col min="14" max="14" width="22.7109375" style="2" customWidth="1"/>
    <col min="15" max="15" width="22.85546875" style="3" customWidth="1"/>
    <col min="16" max="16" width="32.85546875" style="10" customWidth="1"/>
    <col min="17" max="16384" width="9.140625" style="1"/>
  </cols>
  <sheetData>
    <row r="3" spans="1:16">
      <c r="B3" s="57"/>
      <c r="C3" s="58"/>
      <c r="D3" s="57"/>
      <c r="E3" s="58"/>
      <c r="F3" s="57"/>
      <c r="G3" s="57"/>
      <c r="H3" s="57"/>
      <c r="I3" s="57"/>
      <c r="J3" s="57"/>
      <c r="K3" s="57"/>
    </row>
    <row r="4" spans="1:16">
      <c r="B4" s="57"/>
      <c r="C4" s="58"/>
      <c r="D4" s="57"/>
      <c r="E4" s="58"/>
      <c r="F4" s="57"/>
      <c r="G4" s="57"/>
      <c r="H4" s="57"/>
      <c r="I4" s="57"/>
      <c r="J4" s="57"/>
      <c r="K4" s="57"/>
    </row>
    <row r="5" spans="1:16">
      <c r="B5" s="15"/>
      <c r="C5" s="16"/>
      <c r="D5" s="15"/>
      <c r="E5" s="16"/>
      <c r="F5" s="15"/>
      <c r="G5" s="15"/>
      <c r="H5" s="15"/>
      <c r="I5" s="15"/>
      <c r="J5" s="15"/>
      <c r="K5" s="15"/>
    </row>
    <row r="6" spans="1:16">
      <c r="B6" s="15"/>
      <c r="C6" s="16"/>
      <c r="D6" s="15"/>
      <c r="E6" s="16"/>
      <c r="F6" s="15"/>
      <c r="G6" s="15"/>
      <c r="H6" s="15"/>
      <c r="I6" s="15"/>
      <c r="J6" s="15"/>
      <c r="K6" s="15"/>
    </row>
    <row r="7" spans="1:16" ht="16.5" customHeight="1">
      <c r="B7" s="56" t="s">
        <v>16</v>
      </c>
      <c r="C7" s="56"/>
      <c r="D7" s="56"/>
      <c r="E7" s="56"/>
      <c r="F7" s="56"/>
      <c r="G7" s="56"/>
      <c r="H7" s="56"/>
      <c r="I7" s="56"/>
      <c r="J7" s="56"/>
      <c r="K7" s="56"/>
      <c r="L7" s="56"/>
    </row>
    <row r="8" spans="1:16" ht="16.5" customHeight="1"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</row>
    <row r="10" spans="1:16" s="11" customFormat="1" ht="38.25" customHeight="1">
      <c r="A10" s="17" t="s">
        <v>10</v>
      </c>
      <c r="B10" s="18" t="s">
        <v>0</v>
      </c>
      <c r="C10" s="18" t="s">
        <v>1</v>
      </c>
      <c r="D10" s="8" t="s">
        <v>2</v>
      </c>
      <c r="E10" s="8" t="s">
        <v>3</v>
      </c>
      <c r="F10" s="8" t="s">
        <v>11</v>
      </c>
      <c r="G10" s="8" t="s">
        <v>4</v>
      </c>
      <c r="H10" s="18" t="s">
        <v>12</v>
      </c>
      <c r="I10" s="18" t="s">
        <v>5</v>
      </c>
      <c r="J10" s="19" t="s">
        <v>13</v>
      </c>
      <c r="K10" s="8" t="s">
        <v>6</v>
      </c>
      <c r="L10" s="19" t="s">
        <v>7</v>
      </c>
      <c r="M10" s="19" t="s">
        <v>14</v>
      </c>
      <c r="N10" s="20" t="s">
        <v>15</v>
      </c>
      <c r="O10" s="21" t="s">
        <v>8</v>
      </c>
      <c r="P10" s="21" t="s">
        <v>9</v>
      </c>
    </row>
    <row r="11" spans="1:16" s="32" customFormat="1" ht="29.25" customHeight="1">
      <c r="A11" s="22"/>
      <c r="B11" s="23" t="s">
        <v>17</v>
      </c>
      <c r="C11" s="23" t="s">
        <v>18</v>
      </c>
      <c r="D11" s="24" t="s">
        <v>19</v>
      </c>
      <c r="E11" s="22"/>
      <c r="F11" s="25" t="s">
        <v>20</v>
      </c>
      <c r="G11" s="26" t="s">
        <v>21</v>
      </c>
      <c r="H11" s="27"/>
      <c r="I11" s="27"/>
      <c r="J11" s="28" t="s">
        <v>22</v>
      </c>
      <c r="K11" s="29" t="s">
        <v>23</v>
      </c>
      <c r="L11" s="28"/>
      <c r="M11" s="28" t="s">
        <v>24</v>
      </c>
      <c r="N11" s="29" t="s">
        <v>23</v>
      </c>
      <c r="O11" s="30"/>
      <c r="P11" s="31"/>
    </row>
    <row r="12" spans="1:16" s="32" customFormat="1" ht="29.25" customHeight="1">
      <c r="A12" s="22"/>
      <c r="B12" s="23" t="s">
        <v>17</v>
      </c>
      <c r="C12" s="23" t="s">
        <v>18</v>
      </c>
      <c r="D12" s="24" t="s">
        <v>25</v>
      </c>
      <c r="E12" s="22"/>
      <c r="F12" s="25" t="s">
        <v>20</v>
      </c>
      <c r="G12" s="26" t="s">
        <v>21</v>
      </c>
      <c r="H12" s="27"/>
      <c r="I12" s="27"/>
      <c r="J12" s="28" t="s">
        <v>22</v>
      </c>
      <c r="K12" s="29" t="s">
        <v>23</v>
      </c>
      <c r="L12" s="28"/>
      <c r="M12" s="28" t="s">
        <v>24</v>
      </c>
      <c r="N12" s="29" t="s">
        <v>23</v>
      </c>
      <c r="O12" s="30"/>
      <c r="P12" s="31"/>
    </row>
    <row r="13" spans="1:16" s="32" customFormat="1" ht="29.25" customHeight="1">
      <c r="A13" s="22"/>
      <c r="B13" s="23" t="s">
        <v>17</v>
      </c>
      <c r="C13" s="23" t="s">
        <v>18</v>
      </c>
      <c r="D13" s="24" t="s">
        <v>26</v>
      </c>
      <c r="E13" s="22"/>
      <c r="F13" s="25" t="s">
        <v>27</v>
      </c>
      <c r="G13" s="26" t="s">
        <v>28</v>
      </c>
      <c r="H13" s="27"/>
      <c r="I13" s="27"/>
      <c r="J13" s="28" t="s">
        <v>22</v>
      </c>
      <c r="K13" s="29" t="s">
        <v>29</v>
      </c>
      <c r="L13" s="28"/>
      <c r="M13" s="28" t="s">
        <v>30</v>
      </c>
      <c r="N13" s="29" t="s">
        <v>29</v>
      </c>
      <c r="O13" s="30"/>
      <c r="P13" s="31"/>
    </row>
    <row r="14" spans="1:16" s="32" customFormat="1" ht="29.25" customHeight="1">
      <c r="A14" s="22"/>
      <c r="B14" s="23" t="s">
        <v>31</v>
      </c>
      <c r="C14" s="23" t="s">
        <v>18</v>
      </c>
      <c r="D14" s="24" t="s">
        <v>32</v>
      </c>
      <c r="E14" s="22"/>
      <c r="F14" s="25" t="s">
        <v>33</v>
      </c>
      <c r="G14" s="26" t="s">
        <v>28</v>
      </c>
      <c r="H14" s="27"/>
      <c r="I14" s="27"/>
      <c r="J14" s="28" t="s">
        <v>34</v>
      </c>
      <c r="K14" s="29" t="s">
        <v>29</v>
      </c>
      <c r="L14" s="28"/>
      <c r="M14" s="28" t="s">
        <v>35</v>
      </c>
      <c r="N14" s="29" t="s">
        <v>29</v>
      </c>
      <c r="O14" s="30"/>
      <c r="P14" s="31"/>
    </row>
    <row r="15" spans="1:16" s="32" customFormat="1" ht="29.25" customHeight="1">
      <c r="A15" s="22"/>
      <c r="B15" s="23" t="s">
        <v>31</v>
      </c>
      <c r="C15" s="23" t="s">
        <v>18</v>
      </c>
      <c r="D15" s="24" t="s">
        <v>36</v>
      </c>
      <c r="E15" s="22"/>
      <c r="F15" s="25" t="s">
        <v>33</v>
      </c>
      <c r="G15" s="26" t="s">
        <v>28</v>
      </c>
      <c r="H15" s="27"/>
      <c r="I15" s="27"/>
      <c r="J15" s="28" t="s">
        <v>22</v>
      </c>
      <c r="K15" s="29" t="s">
        <v>29</v>
      </c>
      <c r="L15" s="28"/>
      <c r="M15" s="28" t="s">
        <v>37</v>
      </c>
      <c r="N15" s="29" t="s">
        <v>29</v>
      </c>
      <c r="O15" s="30"/>
      <c r="P15" s="31"/>
    </row>
    <row r="16" spans="1:16" s="32" customFormat="1" ht="29.25" customHeight="1">
      <c r="A16" s="22"/>
      <c r="B16" s="23" t="s">
        <v>31</v>
      </c>
      <c r="C16" s="23" t="s">
        <v>18</v>
      </c>
      <c r="D16" s="24" t="s">
        <v>38</v>
      </c>
      <c r="E16" s="22"/>
      <c r="F16" s="25" t="s">
        <v>39</v>
      </c>
      <c r="G16" s="26" t="s">
        <v>40</v>
      </c>
      <c r="H16" s="27"/>
      <c r="I16" s="27"/>
      <c r="J16" s="28" t="s">
        <v>41</v>
      </c>
      <c r="K16" s="29" t="s">
        <v>23</v>
      </c>
      <c r="L16" s="28" t="s">
        <v>42</v>
      </c>
      <c r="M16" s="28" t="s">
        <v>43</v>
      </c>
      <c r="N16" s="29" t="s">
        <v>23</v>
      </c>
      <c r="O16" s="30">
        <v>6500000</v>
      </c>
      <c r="P16" s="31"/>
    </row>
    <row r="17" spans="1:16" customFormat="1" ht="29.25" customHeight="1">
      <c r="A17" s="22"/>
      <c r="B17" s="23" t="s">
        <v>31</v>
      </c>
      <c r="C17" s="23" t="s">
        <v>18</v>
      </c>
      <c r="D17" s="24" t="s">
        <v>44</v>
      </c>
      <c r="E17" s="22"/>
      <c r="F17" s="25" t="s">
        <v>45</v>
      </c>
      <c r="G17" s="26" t="s">
        <v>46</v>
      </c>
      <c r="H17" s="27"/>
      <c r="I17" s="27"/>
      <c r="J17" s="28" t="s">
        <v>22</v>
      </c>
      <c r="K17" s="29" t="s">
        <v>23</v>
      </c>
      <c r="L17" s="28"/>
      <c r="M17" s="28" t="s">
        <v>24</v>
      </c>
      <c r="N17" s="29" t="s">
        <v>23</v>
      </c>
      <c r="O17" s="30"/>
      <c r="P17" s="31"/>
    </row>
    <row r="18" spans="1:16" customFormat="1" ht="29.25" customHeight="1">
      <c r="A18" s="22"/>
      <c r="B18" s="23" t="s">
        <v>31</v>
      </c>
      <c r="C18" s="23" t="s">
        <v>18</v>
      </c>
      <c r="D18" s="24" t="s">
        <v>47</v>
      </c>
      <c r="E18" s="22"/>
      <c r="F18" s="25" t="s">
        <v>45</v>
      </c>
      <c r="G18" s="26" t="s">
        <v>46</v>
      </c>
      <c r="H18" s="27"/>
      <c r="I18" s="27"/>
      <c r="J18" s="28" t="s">
        <v>22</v>
      </c>
      <c r="K18" s="29" t="s">
        <v>23</v>
      </c>
      <c r="L18" s="28"/>
      <c r="M18" s="28" t="s">
        <v>24</v>
      </c>
      <c r="N18" s="29" t="s">
        <v>23</v>
      </c>
      <c r="O18" s="30"/>
      <c r="P18" s="31"/>
    </row>
    <row r="19" spans="1:16" customFormat="1" ht="29.25" customHeight="1">
      <c r="A19" s="22"/>
      <c r="B19" s="23" t="s">
        <v>48</v>
      </c>
      <c r="C19" s="23" t="s">
        <v>18</v>
      </c>
      <c r="D19" s="24" t="s">
        <v>49</v>
      </c>
      <c r="E19" s="22"/>
      <c r="F19" s="25" t="s">
        <v>50</v>
      </c>
      <c r="G19" s="26" t="s">
        <v>51</v>
      </c>
      <c r="H19" s="27"/>
      <c r="I19" s="27"/>
      <c r="J19" s="28" t="s">
        <v>52</v>
      </c>
      <c r="K19" s="29" t="s">
        <v>29</v>
      </c>
      <c r="L19" s="28"/>
      <c r="M19" s="28" t="s">
        <v>53</v>
      </c>
      <c r="N19" s="29" t="s">
        <v>29</v>
      </c>
      <c r="O19" s="30"/>
      <c r="P19" s="31"/>
    </row>
    <row r="20" spans="1:16" customFormat="1" ht="29.25" customHeight="1">
      <c r="A20" s="22"/>
      <c r="B20" s="23" t="s">
        <v>48</v>
      </c>
      <c r="C20" s="23" t="s">
        <v>18</v>
      </c>
      <c r="D20" s="24" t="s">
        <v>54</v>
      </c>
      <c r="E20" s="22"/>
      <c r="F20" s="25" t="s">
        <v>50</v>
      </c>
      <c r="G20" s="26" t="s">
        <v>51</v>
      </c>
      <c r="H20" s="27"/>
      <c r="I20" s="27"/>
      <c r="J20" s="28" t="s">
        <v>22</v>
      </c>
      <c r="K20" s="29" t="s">
        <v>29</v>
      </c>
      <c r="L20" s="28"/>
      <c r="M20" s="28" t="s">
        <v>37</v>
      </c>
      <c r="N20" s="29" t="s">
        <v>29</v>
      </c>
      <c r="O20" s="30"/>
      <c r="P20" s="31"/>
    </row>
    <row r="21" spans="1:16" customFormat="1" ht="29.25" customHeight="1">
      <c r="A21" s="22"/>
      <c r="B21" s="23" t="s">
        <v>55</v>
      </c>
      <c r="C21" s="23" t="s">
        <v>18</v>
      </c>
      <c r="D21" s="24" t="s">
        <v>19</v>
      </c>
      <c r="E21" s="22"/>
      <c r="F21" s="25" t="s">
        <v>56</v>
      </c>
      <c r="G21" s="26" t="s">
        <v>57</v>
      </c>
      <c r="H21" s="27"/>
      <c r="I21" s="27"/>
      <c r="J21" s="28" t="s">
        <v>22</v>
      </c>
      <c r="K21" s="29" t="s">
        <v>23</v>
      </c>
      <c r="L21" s="28"/>
      <c r="M21" s="28" t="s">
        <v>58</v>
      </c>
      <c r="N21" s="29" t="s">
        <v>23</v>
      </c>
      <c r="O21" s="30"/>
      <c r="P21" s="31"/>
    </row>
    <row r="22" spans="1:16" customFormat="1" ht="29.25" customHeight="1">
      <c r="A22" s="22"/>
      <c r="B22" s="23" t="s">
        <v>55</v>
      </c>
      <c r="C22" s="23" t="s">
        <v>18</v>
      </c>
      <c r="D22" s="24" t="s">
        <v>59</v>
      </c>
      <c r="E22" s="22"/>
      <c r="F22" s="25" t="s">
        <v>56</v>
      </c>
      <c r="G22" s="26" t="s">
        <v>57</v>
      </c>
      <c r="H22" s="27"/>
      <c r="I22" s="27"/>
      <c r="J22" s="28" t="s">
        <v>22</v>
      </c>
      <c r="K22" s="29" t="s">
        <v>23</v>
      </c>
      <c r="L22" s="28"/>
      <c r="M22" s="28" t="s">
        <v>37</v>
      </c>
      <c r="N22" s="29" t="s">
        <v>23</v>
      </c>
      <c r="O22" s="30"/>
      <c r="P22" s="31"/>
    </row>
    <row r="23" spans="1:16" customFormat="1" ht="29.25" customHeight="1">
      <c r="A23" s="22"/>
      <c r="B23" s="23" t="s">
        <v>55</v>
      </c>
      <c r="C23" s="23" t="s">
        <v>18</v>
      </c>
      <c r="D23" s="24" t="s">
        <v>60</v>
      </c>
      <c r="E23" s="22"/>
      <c r="F23" s="25" t="s">
        <v>56</v>
      </c>
      <c r="G23" s="26" t="s">
        <v>57</v>
      </c>
      <c r="H23" s="27"/>
      <c r="I23" s="27"/>
      <c r="J23" s="28" t="s">
        <v>22</v>
      </c>
      <c r="K23" s="29" t="s">
        <v>23</v>
      </c>
      <c r="L23" s="28"/>
      <c r="M23" s="28" t="s">
        <v>37</v>
      </c>
      <c r="N23" s="29" t="s">
        <v>23</v>
      </c>
      <c r="O23" s="30"/>
      <c r="P23" s="31"/>
    </row>
    <row r="24" spans="1:16" customFormat="1" ht="29.25" customHeight="1">
      <c r="A24" s="22"/>
      <c r="B24" s="23" t="s">
        <v>55</v>
      </c>
      <c r="C24" s="23" t="s">
        <v>18</v>
      </c>
      <c r="D24" s="24" t="s">
        <v>19</v>
      </c>
      <c r="E24" s="22"/>
      <c r="F24" s="25" t="s">
        <v>61</v>
      </c>
      <c r="G24" s="26" t="s">
        <v>28</v>
      </c>
      <c r="H24" s="27"/>
      <c r="I24" s="27"/>
      <c r="J24" s="28" t="s">
        <v>62</v>
      </c>
      <c r="K24" s="29" t="s">
        <v>29</v>
      </c>
      <c r="L24" s="28" t="s">
        <v>63</v>
      </c>
      <c r="M24" s="28" t="s">
        <v>64</v>
      </c>
      <c r="N24" s="29" t="s">
        <v>29</v>
      </c>
      <c r="O24" s="30">
        <v>4500000</v>
      </c>
      <c r="P24" s="31"/>
    </row>
    <row r="25" spans="1:16" s="43" customFormat="1" ht="29.25" customHeight="1">
      <c r="A25" s="33"/>
      <c r="B25" s="34" t="s">
        <v>66</v>
      </c>
      <c r="C25" s="34" t="s">
        <v>18</v>
      </c>
      <c r="D25" s="35" t="s">
        <v>67</v>
      </c>
      <c r="E25" s="33"/>
      <c r="F25" s="36" t="s">
        <v>68</v>
      </c>
      <c r="G25" s="37" t="s">
        <v>40</v>
      </c>
      <c r="H25" s="38"/>
      <c r="I25" s="38"/>
      <c r="J25" s="39" t="s">
        <v>22</v>
      </c>
      <c r="K25" s="40" t="s">
        <v>69</v>
      </c>
      <c r="L25" s="39"/>
      <c r="M25" s="39" t="s">
        <v>70</v>
      </c>
      <c r="N25" s="40" t="s">
        <v>69</v>
      </c>
      <c r="O25" s="41"/>
      <c r="P25" s="42" t="s">
        <v>65</v>
      </c>
    </row>
    <row r="26" spans="1:16" s="55" customFormat="1" ht="29.25" customHeight="1">
      <c r="A26" s="44"/>
      <c r="B26" s="45" t="s">
        <v>71</v>
      </c>
      <c r="C26" s="45" t="s">
        <v>18</v>
      </c>
      <c r="D26" s="46" t="s">
        <v>72</v>
      </c>
      <c r="E26" s="47" t="s">
        <v>73</v>
      </c>
      <c r="F26" s="48" t="s">
        <v>74</v>
      </c>
      <c r="G26" s="49" t="s">
        <v>75</v>
      </c>
      <c r="H26" s="50"/>
      <c r="I26" s="50"/>
      <c r="J26" s="51" t="s">
        <v>76</v>
      </c>
      <c r="K26" s="52" t="s">
        <v>77</v>
      </c>
      <c r="L26" s="51"/>
      <c r="M26" s="51" t="s">
        <v>78</v>
      </c>
      <c r="N26" s="52" t="s">
        <v>77</v>
      </c>
      <c r="O26" s="53"/>
      <c r="P26" s="54" t="s">
        <v>79</v>
      </c>
    </row>
    <row r="27" spans="1:16" s="32" customFormat="1" ht="29.25" customHeight="1">
      <c r="A27" s="22"/>
      <c r="B27" s="23" t="s">
        <v>71</v>
      </c>
      <c r="C27" s="23" t="s">
        <v>18</v>
      </c>
      <c r="D27" s="24" t="s">
        <v>44</v>
      </c>
      <c r="E27" s="22"/>
      <c r="F27" s="25" t="s">
        <v>80</v>
      </c>
      <c r="G27" s="26" t="s">
        <v>75</v>
      </c>
      <c r="H27" s="27"/>
      <c r="I27" s="27"/>
      <c r="J27" s="28" t="s">
        <v>22</v>
      </c>
      <c r="K27" s="29" t="s">
        <v>23</v>
      </c>
      <c r="L27" s="28" t="s">
        <v>63</v>
      </c>
      <c r="M27" s="28" t="s">
        <v>24</v>
      </c>
      <c r="N27" s="29" t="s">
        <v>23</v>
      </c>
      <c r="O27" s="30">
        <f>7000000+4500000</f>
        <v>11500000</v>
      </c>
      <c r="P27" s="31"/>
    </row>
    <row r="28" spans="1:16" s="32" customFormat="1" ht="29.25" customHeight="1">
      <c r="A28" s="22"/>
      <c r="B28" s="23" t="s">
        <v>71</v>
      </c>
      <c r="C28" s="23" t="s">
        <v>18</v>
      </c>
      <c r="D28" s="24" t="s">
        <v>54</v>
      </c>
      <c r="E28" s="22"/>
      <c r="F28" s="25" t="s">
        <v>80</v>
      </c>
      <c r="G28" s="26" t="s">
        <v>75</v>
      </c>
      <c r="H28" s="27"/>
      <c r="I28" s="27"/>
      <c r="J28" s="28" t="s">
        <v>22</v>
      </c>
      <c r="K28" s="29" t="s">
        <v>23</v>
      </c>
      <c r="L28" s="28"/>
      <c r="M28" s="28" t="s">
        <v>24</v>
      </c>
      <c r="N28" s="29" t="s">
        <v>23</v>
      </c>
      <c r="O28" s="30"/>
      <c r="P28" s="31"/>
    </row>
    <row r="29" spans="1:16" s="32" customFormat="1" ht="29.25" customHeight="1">
      <c r="A29" s="22"/>
      <c r="B29" s="23" t="s">
        <v>71</v>
      </c>
      <c r="C29" s="23" t="s">
        <v>18</v>
      </c>
      <c r="D29" s="24" t="s">
        <v>81</v>
      </c>
      <c r="E29" s="22"/>
      <c r="F29" s="25" t="s">
        <v>80</v>
      </c>
      <c r="G29" s="26" t="s">
        <v>75</v>
      </c>
      <c r="H29" s="27"/>
      <c r="I29" s="27"/>
      <c r="J29" s="28" t="s">
        <v>22</v>
      </c>
      <c r="K29" s="29" t="s">
        <v>23</v>
      </c>
      <c r="L29" s="28"/>
      <c r="M29" s="28" t="s">
        <v>24</v>
      </c>
      <c r="N29" s="29" t="s">
        <v>23</v>
      </c>
      <c r="O29" s="30"/>
      <c r="P29" s="31"/>
    </row>
    <row r="30" spans="1:16" s="32" customFormat="1" ht="29.25" customHeight="1">
      <c r="A30" s="22"/>
      <c r="B30" s="23" t="s">
        <v>82</v>
      </c>
      <c r="C30" s="23" t="s">
        <v>18</v>
      </c>
      <c r="D30" s="24" t="s">
        <v>83</v>
      </c>
      <c r="E30" s="22"/>
      <c r="F30" s="25" t="s">
        <v>84</v>
      </c>
      <c r="G30" s="26" t="s">
        <v>28</v>
      </c>
      <c r="H30" s="27"/>
      <c r="I30" s="27"/>
      <c r="J30" s="28" t="s">
        <v>152</v>
      </c>
      <c r="K30" s="29" t="s">
        <v>23</v>
      </c>
      <c r="L30" s="28"/>
      <c r="M30" s="28"/>
      <c r="N30" s="29" t="s">
        <v>23</v>
      </c>
      <c r="O30" s="30"/>
      <c r="P30" s="31"/>
    </row>
    <row r="31" spans="1:16" s="32" customFormat="1" ht="29.25" customHeight="1">
      <c r="A31" s="22"/>
      <c r="B31" s="13" t="s">
        <v>85</v>
      </c>
      <c r="C31" s="23" t="s">
        <v>18</v>
      </c>
      <c r="D31" s="13" t="s">
        <v>49</v>
      </c>
      <c r="E31" s="22"/>
      <c r="F31" s="12" t="s">
        <v>86</v>
      </c>
      <c r="G31" s="26" t="s">
        <v>28</v>
      </c>
      <c r="H31" s="27"/>
      <c r="I31" s="27"/>
      <c r="J31" s="28" t="s">
        <v>22</v>
      </c>
      <c r="K31" s="29" t="s">
        <v>29</v>
      </c>
      <c r="L31" s="28"/>
      <c r="M31" s="28" t="s">
        <v>87</v>
      </c>
      <c r="N31" s="29" t="s">
        <v>29</v>
      </c>
      <c r="O31" s="30"/>
      <c r="P31" s="31"/>
    </row>
    <row r="32" spans="1:16" s="32" customFormat="1" ht="29.25" customHeight="1">
      <c r="A32" s="22"/>
      <c r="B32" s="13" t="s">
        <v>85</v>
      </c>
      <c r="C32" s="23" t="s">
        <v>18</v>
      </c>
      <c r="D32" s="13" t="s">
        <v>54</v>
      </c>
      <c r="E32" s="22"/>
      <c r="F32" s="12" t="s">
        <v>86</v>
      </c>
      <c r="G32" s="26" t="s">
        <v>28</v>
      </c>
      <c r="H32" s="27"/>
      <c r="I32" s="27"/>
      <c r="J32" s="28" t="s">
        <v>22</v>
      </c>
      <c r="K32" s="29" t="s">
        <v>29</v>
      </c>
      <c r="L32" s="28"/>
      <c r="M32" s="28" t="s">
        <v>87</v>
      </c>
      <c r="N32" s="29" t="s">
        <v>29</v>
      </c>
      <c r="O32" s="30"/>
      <c r="P32" s="31"/>
    </row>
    <row r="33" spans="1:16" s="32" customFormat="1" ht="29.25" customHeight="1">
      <c r="A33" s="22"/>
      <c r="B33" s="13" t="s">
        <v>85</v>
      </c>
      <c r="C33" s="23" t="s">
        <v>18</v>
      </c>
      <c r="D33" s="13" t="s">
        <v>60</v>
      </c>
      <c r="E33" s="22"/>
      <c r="F33" s="12" t="s">
        <v>86</v>
      </c>
      <c r="G33" s="26" t="s">
        <v>28</v>
      </c>
      <c r="H33" s="27"/>
      <c r="I33" s="27"/>
      <c r="J33" s="28" t="s">
        <v>22</v>
      </c>
      <c r="K33" s="29" t="s">
        <v>29</v>
      </c>
      <c r="L33" s="28"/>
      <c r="M33" s="28" t="s">
        <v>87</v>
      </c>
      <c r="N33" s="29" t="s">
        <v>29</v>
      </c>
      <c r="O33" s="30"/>
      <c r="P33" s="31"/>
    </row>
    <row r="34" spans="1:16" s="32" customFormat="1" ht="29.25" customHeight="1">
      <c r="A34" s="22"/>
      <c r="B34" s="13" t="s">
        <v>88</v>
      </c>
      <c r="C34" s="23" t="s">
        <v>18</v>
      </c>
      <c r="D34" s="13" t="s">
        <v>49</v>
      </c>
      <c r="E34" s="22"/>
      <c r="F34" s="12" t="s">
        <v>89</v>
      </c>
      <c r="G34" s="26" t="s">
        <v>28</v>
      </c>
      <c r="H34" s="27"/>
      <c r="I34" s="27"/>
      <c r="J34" s="28" t="s">
        <v>90</v>
      </c>
      <c r="K34" s="29" t="s">
        <v>29</v>
      </c>
      <c r="L34" s="28"/>
      <c r="M34" s="28" t="s">
        <v>91</v>
      </c>
      <c r="N34" s="29" t="s">
        <v>29</v>
      </c>
      <c r="O34" s="30"/>
      <c r="P34" s="31"/>
    </row>
    <row r="35" spans="1:16" s="32" customFormat="1" ht="29.25" customHeight="1">
      <c r="A35" s="22"/>
      <c r="B35" s="13" t="s">
        <v>88</v>
      </c>
      <c r="C35" s="23" t="s">
        <v>18</v>
      </c>
      <c r="D35" s="13" t="s">
        <v>54</v>
      </c>
      <c r="E35" s="22"/>
      <c r="F35" s="12" t="s">
        <v>89</v>
      </c>
      <c r="G35" s="26" t="s">
        <v>28</v>
      </c>
      <c r="H35" s="27"/>
      <c r="I35" s="27"/>
      <c r="J35" s="28" t="s">
        <v>22</v>
      </c>
      <c r="K35" s="29" t="s">
        <v>29</v>
      </c>
      <c r="L35" s="28"/>
      <c r="M35" s="28" t="s">
        <v>24</v>
      </c>
      <c r="N35" s="29" t="s">
        <v>29</v>
      </c>
      <c r="O35" s="30"/>
      <c r="P35" s="31"/>
    </row>
    <row r="36" spans="1:16" s="32" customFormat="1" ht="29.25" customHeight="1">
      <c r="A36" s="22"/>
      <c r="B36" s="13" t="s">
        <v>88</v>
      </c>
      <c r="C36" s="23" t="s">
        <v>18</v>
      </c>
      <c r="D36" s="13" t="s">
        <v>60</v>
      </c>
      <c r="E36" s="22"/>
      <c r="F36" s="12" t="s">
        <v>89</v>
      </c>
      <c r="G36" s="26" t="s">
        <v>28</v>
      </c>
      <c r="H36" s="27"/>
      <c r="I36" s="27"/>
      <c r="J36" s="28" t="s">
        <v>22</v>
      </c>
      <c r="K36" s="29" t="s">
        <v>29</v>
      </c>
      <c r="L36" s="28"/>
      <c r="M36" s="28" t="s">
        <v>24</v>
      </c>
      <c r="N36" s="29" t="s">
        <v>29</v>
      </c>
      <c r="O36" s="30"/>
      <c r="P36" s="31"/>
    </row>
    <row r="37" spans="1:16" s="32" customFormat="1" ht="29.25" customHeight="1">
      <c r="A37" s="22"/>
      <c r="B37" s="23"/>
      <c r="C37" s="23" t="s">
        <v>92</v>
      </c>
      <c r="D37" s="24" t="s">
        <v>93</v>
      </c>
      <c r="E37" s="22">
        <v>1600878</v>
      </c>
      <c r="F37" s="25" t="s">
        <v>94</v>
      </c>
      <c r="G37" s="26" t="s">
        <v>95</v>
      </c>
      <c r="H37" s="27"/>
      <c r="I37" s="27"/>
      <c r="J37" s="28" t="s">
        <v>96</v>
      </c>
      <c r="K37" s="29" t="s">
        <v>77</v>
      </c>
      <c r="L37" s="28"/>
      <c r="M37" s="28" t="s">
        <v>97</v>
      </c>
      <c r="N37" s="29" t="s">
        <v>77</v>
      </c>
      <c r="O37" s="30"/>
      <c r="P37" s="31"/>
    </row>
    <row r="38" spans="1:16" s="32" customFormat="1" ht="29.25" customHeight="1">
      <c r="A38" s="22"/>
      <c r="B38" s="23" t="s">
        <v>92</v>
      </c>
      <c r="C38" s="23" t="s">
        <v>18</v>
      </c>
      <c r="D38" s="24" t="s">
        <v>98</v>
      </c>
      <c r="E38" s="22" t="s">
        <v>99</v>
      </c>
      <c r="F38" s="25" t="s">
        <v>100</v>
      </c>
      <c r="G38" s="26" t="s">
        <v>28</v>
      </c>
      <c r="H38" s="27"/>
      <c r="I38" s="27"/>
      <c r="J38" s="28" t="s">
        <v>22</v>
      </c>
      <c r="K38" s="29" t="s">
        <v>101</v>
      </c>
      <c r="L38" s="28"/>
      <c r="M38" s="28" t="s">
        <v>102</v>
      </c>
      <c r="N38" s="29" t="s">
        <v>101</v>
      </c>
      <c r="O38" s="30"/>
      <c r="P38" s="31"/>
    </row>
    <row r="39" spans="1:16" s="32" customFormat="1" ht="29.25" customHeight="1">
      <c r="A39" s="22"/>
      <c r="B39" s="23"/>
      <c r="C39" s="23" t="s">
        <v>92</v>
      </c>
      <c r="D39" s="24" t="s">
        <v>54</v>
      </c>
      <c r="E39" s="22" t="s">
        <v>103</v>
      </c>
      <c r="F39" s="25" t="s">
        <v>104</v>
      </c>
      <c r="G39" s="26" t="s">
        <v>28</v>
      </c>
      <c r="H39" s="27"/>
      <c r="I39" s="27"/>
      <c r="J39" s="28" t="s">
        <v>22</v>
      </c>
      <c r="K39" s="29" t="s">
        <v>29</v>
      </c>
      <c r="L39" s="28"/>
      <c r="M39" s="28" t="s">
        <v>70</v>
      </c>
      <c r="N39" s="29" t="s">
        <v>29</v>
      </c>
      <c r="O39" s="30"/>
      <c r="P39" s="31"/>
    </row>
    <row r="40" spans="1:16" s="32" customFormat="1" ht="29.25" customHeight="1">
      <c r="A40" s="22"/>
      <c r="B40" s="23" t="s">
        <v>105</v>
      </c>
      <c r="C40" s="23" t="s">
        <v>18</v>
      </c>
      <c r="D40" s="24" t="s">
        <v>47</v>
      </c>
      <c r="E40" s="22" t="s">
        <v>106</v>
      </c>
      <c r="F40" s="25" t="s">
        <v>107</v>
      </c>
      <c r="G40" s="26" t="s">
        <v>40</v>
      </c>
      <c r="H40" s="27"/>
      <c r="I40" s="27"/>
      <c r="J40" s="28" t="s">
        <v>108</v>
      </c>
      <c r="K40" s="29" t="s">
        <v>23</v>
      </c>
      <c r="L40" s="28"/>
      <c r="M40" s="28"/>
      <c r="N40" s="29"/>
      <c r="O40" s="30"/>
      <c r="P40" s="31"/>
    </row>
    <row r="41" spans="1:16" s="32" customFormat="1" ht="29.25" customHeight="1">
      <c r="A41" s="22"/>
      <c r="B41" s="23"/>
      <c r="C41" s="23" t="s">
        <v>105</v>
      </c>
      <c r="D41" s="24" t="s">
        <v>47</v>
      </c>
      <c r="E41" s="22" t="s">
        <v>106</v>
      </c>
      <c r="F41" s="25" t="s">
        <v>107</v>
      </c>
      <c r="G41" s="26" t="s">
        <v>40</v>
      </c>
      <c r="H41" s="27"/>
      <c r="I41" s="27"/>
      <c r="J41" s="28" t="s">
        <v>109</v>
      </c>
      <c r="K41" s="29" t="s">
        <v>23</v>
      </c>
      <c r="L41" s="28" t="s">
        <v>110</v>
      </c>
      <c r="M41" s="28" t="s">
        <v>111</v>
      </c>
      <c r="N41" s="29" t="s">
        <v>23</v>
      </c>
      <c r="O41" s="30">
        <v>5155000</v>
      </c>
      <c r="P41" s="31"/>
    </row>
    <row r="42" spans="1:16" s="32" customFormat="1" ht="29.25" customHeight="1">
      <c r="A42" s="22"/>
      <c r="B42" s="23" t="s">
        <v>112</v>
      </c>
      <c r="C42" s="23" t="s">
        <v>18</v>
      </c>
      <c r="D42" s="24" t="s">
        <v>113</v>
      </c>
      <c r="E42" s="22"/>
      <c r="F42" s="25" t="s">
        <v>114</v>
      </c>
      <c r="G42" s="26" t="s">
        <v>115</v>
      </c>
      <c r="H42" s="27"/>
      <c r="I42" s="27"/>
      <c r="J42" s="28" t="s">
        <v>116</v>
      </c>
      <c r="K42" s="29" t="s">
        <v>23</v>
      </c>
      <c r="L42" s="28" t="s">
        <v>117</v>
      </c>
      <c r="M42" s="28" t="s">
        <v>118</v>
      </c>
      <c r="N42" s="29" t="s">
        <v>23</v>
      </c>
      <c r="O42" s="30">
        <v>8000000</v>
      </c>
      <c r="P42" s="31"/>
    </row>
    <row r="43" spans="1:16" s="32" customFormat="1" ht="29.25" customHeight="1">
      <c r="A43" s="22"/>
      <c r="B43" s="23" t="s">
        <v>112</v>
      </c>
      <c r="C43" s="23" t="s">
        <v>18</v>
      </c>
      <c r="D43" s="24" t="s">
        <v>119</v>
      </c>
      <c r="E43" s="22"/>
      <c r="F43" s="25" t="s">
        <v>114</v>
      </c>
      <c r="G43" s="26" t="s">
        <v>115</v>
      </c>
      <c r="H43" s="27"/>
      <c r="I43" s="27"/>
      <c r="J43" s="28" t="s">
        <v>120</v>
      </c>
      <c r="K43" s="29" t="s">
        <v>23</v>
      </c>
      <c r="L43" s="28"/>
      <c r="M43" s="28" t="s">
        <v>121</v>
      </c>
      <c r="N43" s="29" t="s">
        <v>23</v>
      </c>
      <c r="O43" s="30"/>
      <c r="P43" s="31"/>
    </row>
    <row r="44" spans="1:16" s="32" customFormat="1" ht="29.25" customHeight="1">
      <c r="A44" s="22"/>
      <c r="B44" s="23" t="s">
        <v>112</v>
      </c>
      <c r="C44" s="23" t="s">
        <v>18</v>
      </c>
      <c r="D44" s="24" t="s">
        <v>44</v>
      </c>
      <c r="E44" s="22"/>
      <c r="F44" s="25" t="s">
        <v>122</v>
      </c>
      <c r="G44" s="26" t="s">
        <v>115</v>
      </c>
      <c r="H44" s="27"/>
      <c r="I44" s="27"/>
      <c r="J44" s="28" t="s">
        <v>22</v>
      </c>
      <c r="K44" s="29" t="s">
        <v>23</v>
      </c>
      <c r="L44" s="28" t="s">
        <v>123</v>
      </c>
      <c r="M44" s="28" t="s">
        <v>24</v>
      </c>
      <c r="N44" s="29" t="s">
        <v>23</v>
      </c>
      <c r="O44" s="30">
        <v>10000000</v>
      </c>
      <c r="P44" s="31"/>
    </row>
    <row r="45" spans="1:16" s="32" customFormat="1" ht="29.25" customHeight="1">
      <c r="A45" s="22"/>
      <c r="B45" s="23" t="s">
        <v>112</v>
      </c>
      <c r="C45" s="23" t="s">
        <v>18</v>
      </c>
      <c r="D45" s="24" t="s">
        <v>124</v>
      </c>
      <c r="E45" s="22"/>
      <c r="F45" s="25" t="s">
        <v>122</v>
      </c>
      <c r="G45" s="26" t="s">
        <v>115</v>
      </c>
      <c r="H45" s="27"/>
      <c r="I45" s="27"/>
      <c r="J45" s="28" t="s">
        <v>22</v>
      </c>
      <c r="K45" s="29" t="s">
        <v>23</v>
      </c>
      <c r="L45" s="28" t="s">
        <v>125</v>
      </c>
      <c r="M45" s="28" t="s">
        <v>24</v>
      </c>
      <c r="N45" s="29" t="s">
        <v>23</v>
      </c>
      <c r="O45" s="30">
        <v>4500000</v>
      </c>
      <c r="P45" s="31"/>
    </row>
    <row r="46" spans="1:16" s="32" customFormat="1" ht="29.25" customHeight="1">
      <c r="A46" s="22"/>
      <c r="B46" s="23" t="s">
        <v>112</v>
      </c>
      <c r="C46" s="23" t="s">
        <v>18</v>
      </c>
      <c r="D46" s="24" t="s">
        <v>47</v>
      </c>
      <c r="E46" s="22"/>
      <c r="F46" s="25" t="s">
        <v>122</v>
      </c>
      <c r="G46" s="26" t="s">
        <v>115</v>
      </c>
      <c r="H46" s="27"/>
      <c r="I46" s="27"/>
      <c r="J46" s="28" t="s">
        <v>22</v>
      </c>
      <c r="K46" s="29" t="s">
        <v>23</v>
      </c>
      <c r="L46" s="28"/>
      <c r="M46" s="28" t="s">
        <v>24</v>
      </c>
      <c r="N46" s="29" t="s">
        <v>23</v>
      </c>
      <c r="O46" s="30"/>
      <c r="P46" s="31"/>
    </row>
    <row r="47" spans="1:16" s="32" customFormat="1" ht="29.25" customHeight="1">
      <c r="A47" s="22"/>
      <c r="B47" s="23" t="s">
        <v>112</v>
      </c>
      <c r="C47" s="23" t="s">
        <v>18</v>
      </c>
      <c r="D47" s="24" t="s">
        <v>60</v>
      </c>
      <c r="E47" s="22"/>
      <c r="F47" s="25" t="s">
        <v>122</v>
      </c>
      <c r="G47" s="26" t="s">
        <v>115</v>
      </c>
      <c r="H47" s="27"/>
      <c r="I47" s="27"/>
      <c r="J47" s="28" t="s">
        <v>22</v>
      </c>
      <c r="K47" s="29" t="s">
        <v>23</v>
      </c>
      <c r="L47" s="28"/>
      <c r="M47" s="28" t="s">
        <v>24</v>
      </c>
      <c r="N47" s="29" t="s">
        <v>23</v>
      </c>
      <c r="O47" s="30"/>
      <c r="P47" s="31"/>
    </row>
    <row r="48" spans="1:16" s="32" customFormat="1" ht="29.25" customHeight="1">
      <c r="A48" s="22"/>
      <c r="B48" s="23" t="s">
        <v>126</v>
      </c>
      <c r="C48" s="23" t="s">
        <v>18</v>
      </c>
      <c r="D48" s="24" t="s">
        <v>72</v>
      </c>
      <c r="E48" s="22">
        <v>2500251250026</v>
      </c>
      <c r="F48" s="25" t="s">
        <v>74</v>
      </c>
      <c r="G48" s="26" t="s">
        <v>75</v>
      </c>
      <c r="H48" s="27" t="s">
        <v>127</v>
      </c>
      <c r="I48" s="27" t="s">
        <v>128</v>
      </c>
      <c r="J48" s="28" t="s">
        <v>129</v>
      </c>
      <c r="K48" s="29" t="s">
        <v>77</v>
      </c>
      <c r="L48" s="28"/>
      <c r="M48" s="28" t="s">
        <v>130</v>
      </c>
      <c r="N48" s="29" t="s">
        <v>77</v>
      </c>
      <c r="O48" s="30"/>
      <c r="P48" s="31" t="s">
        <v>153</v>
      </c>
    </row>
    <row r="49" spans="1:16" s="32" customFormat="1" ht="29.25" customHeight="1">
      <c r="A49" s="22"/>
      <c r="B49" s="23" t="s">
        <v>131</v>
      </c>
      <c r="C49" s="23" t="s">
        <v>18</v>
      </c>
      <c r="D49" s="24" t="s">
        <v>132</v>
      </c>
      <c r="E49" s="22" t="s">
        <v>133</v>
      </c>
      <c r="F49" s="25" t="s">
        <v>134</v>
      </c>
      <c r="G49" s="26" t="s">
        <v>135</v>
      </c>
      <c r="H49" s="27"/>
      <c r="I49" s="27"/>
      <c r="J49" s="28" t="s">
        <v>136</v>
      </c>
      <c r="K49" s="29" t="s">
        <v>23</v>
      </c>
      <c r="L49" s="28" t="s">
        <v>137</v>
      </c>
      <c r="M49" s="28" t="s">
        <v>118</v>
      </c>
      <c r="N49" s="29" t="s">
        <v>23</v>
      </c>
      <c r="O49" s="30">
        <v>10750000</v>
      </c>
      <c r="P49" s="31"/>
    </row>
    <row r="50" spans="1:16" s="32" customFormat="1" ht="29.25" customHeight="1">
      <c r="A50" s="22"/>
      <c r="B50" s="23" t="s">
        <v>131</v>
      </c>
      <c r="C50" s="23" t="s">
        <v>18</v>
      </c>
      <c r="D50" s="24" t="s">
        <v>132</v>
      </c>
      <c r="E50" s="22"/>
      <c r="F50" s="25" t="s">
        <v>134</v>
      </c>
      <c r="G50" s="26" t="s">
        <v>135</v>
      </c>
      <c r="H50" s="27"/>
      <c r="I50" s="27"/>
      <c r="J50" s="28" t="s">
        <v>22</v>
      </c>
      <c r="K50" s="29" t="s">
        <v>23</v>
      </c>
      <c r="L50" s="28"/>
      <c r="M50" s="28" t="s">
        <v>24</v>
      </c>
      <c r="N50" s="29" t="s">
        <v>23</v>
      </c>
      <c r="O50" s="30"/>
      <c r="P50" s="31"/>
    </row>
    <row r="51" spans="1:16" s="32" customFormat="1" ht="29.25" customHeight="1">
      <c r="A51" s="22"/>
      <c r="B51" s="23" t="s">
        <v>131</v>
      </c>
      <c r="C51" s="23" t="s">
        <v>18</v>
      </c>
      <c r="D51" s="24" t="s">
        <v>132</v>
      </c>
      <c r="E51" s="22"/>
      <c r="F51" s="25" t="s">
        <v>134</v>
      </c>
      <c r="G51" s="26" t="s">
        <v>135</v>
      </c>
      <c r="H51" s="27"/>
      <c r="I51" s="27"/>
      <c r="J51" s="28" t="s">
        <v>22</v>
      </c>
      <c r="K51" s="29" t="s">
        <v>23</v>
      </c>
      <c r="L51" s="28"/>
      <c r="M51" s="28" t="s">
        <v>24</v>
      </c>
      <c r="N51" s="29" t="s">
        <v>23</v>
      </c>
      <c r="O51" s="30"/>
      <c r="P51" s="31"/>
    </row>
    <row r="52" spans="1:16" s="32" customFormat="1" ht="29.25" customHeight="1">
      <c r="A52" s="22"/>
      <c r="B52" s="23" t="s">
        <v>131</v>
      </c>
      <c r="C52" s="23" t="s">
        <v>18</v>
      </c>
      <c r="D52" s="24" t="s">
        <v>83</v>
      </c>
      <c r="E52" s="22"/>
      <c r="F52" s="25" t="s">
        <v>134</v>
      </c>
      <c r="G52" s="26" t="s">
        <v>135</v>
      </c>
      <c r="H52" s="27"/>
      <c r="I52" s="27"/>
      <c r="J52" s="28" t="s">
        <v>22</v>
      </c>
      <c r="K52" s="29" t="s">
        <v>23</v>
      </c>
      <c r="L52" s="28"/>
      <c r="M52" s="28" t="s">
        <v>24</v>
      </c>
      <c r="N52" s="29" t="s">
        <v>23</v>
      </c>
      <c r="O52" s="30"/>
      <c r="P52" s="31"/>
    </row>
    <row r="53" spans="1:16" s="32" customFormat="1" ht="29.25" customHeight="1">
      <c r="A53" s="22"/>
      <c r="B53" s="23" t="s">
        <v>131</v>
      </c>
      <c r="C53" s="23" t="s">
        <v>18</v>
      </c>
      <c r="D53" s="24" t="s">
        <v>138</v>
      </c>
      <c r="E53" s="22"/>
      <c r="F53" s="25" t="s">
        <v>139</v>
      </c>
      <c r="G53" s="26" t="s">
        <v>28</v>
      </c>
      <c r="H53" s="27"/>
      <c r="I53" s="27"/>
      <c r="J53" s="28" t="s">
        <v>140</v>
      </c>
      <c r="K53" s="29" t="s">
        <v>69</v>
      </c>
      <c r="L53" s="28" t="s">
        <v>141</v>
      </c>
      <c r="M53" s="28" t="s">
        <v>142</v>
      </c>
      <c r="N53" s="29" t="s">
        <v>69</v>
      </c>
      <c r="O53" s="30">
        <v>11000000</v>
      </c>
      <c r="P53" s="31"/>
    </row>
    <row r="54" spans="1:16" s="55" customFormat="1" ht="29.25" customHeight="1">
      <c r="A54" s="44"/>
      <c r="B54" s="45" t="s">
        <v>143</v>
      </c>
      <c r="C54" s="45" t="s">
        <v>18</v>
      </c>
      <c r="D54" s="46" t="s">
        <v>144</v>
      </c>
      <c r="E54" s="44" t="s">
        <v>145</v>
      </c>
      <c r="F54" s="48" t="s">
        <v>146</v>
      </c>
      <c r="G54" s="49" t="s">
        <v>147</v>
      </c>
      <c r="H54" s="50" t="s">
        <v>148</v>
      </c>
      <c r="I54" s="50"/>
      <c r="J54" s="51" t="s">
        <v>149</v>
      </c>
      <c r="K54" s="52" t="s">
        <v>150</v>
      </c>
      <c r="L54" s="51"/>
      <c r="M54" s="51" t="s">
        <v>151</v>
      </c>
      <c r="N54" s="52" t="s">
        <v>150</v>
      </c>
      <c r="O54" s="53"/>
      <c r="P54" s="54"/>
    </row>
  </sheetData>
  <autoFilter ref="A10:P29"/>
  <mergeCells count="2">
    <mergeCell ref="B7:L8"/>
    <mergeCell ref="B3:K4"/>
  </mergeCells>
  <pageMargins left="0.7" right="0.7" top="0.75" bottom="0.75" header="0.3" footer="0.3"/>
  <pageSetup paperSize="9" orientation="portrait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Sửa chữa 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huongsmile1993</dc:creator>
  <cp:lastModifiedBy>Hiền</cp:lastModifiedBy>
  <cp:lastPrinted>2020-10-22T02:47:05Z</cp:lastPrinted>
  <dcterms:created xsi:type="dcterms:W3CDTF">2020-05-13T03:01:23Z</dcterms:created>
  <dcterms:modified xsi:type="dcterms:W3CDTF">2026-06-11T09:40:38Z</dcterms:modified>
</cp:coreProperties>
</file>